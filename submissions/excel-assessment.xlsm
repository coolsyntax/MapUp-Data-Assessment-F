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ivan\Downloads\"/>
    </mc:Choice>
  </mc:AlternateContent>
  <xr:revisionPtr revIDLastSave="0" documentId="13_ncr:1_{E404949D-9D01-4811-8D8E-FC66F118F860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8" i="20" l="1"/>
  <c r="L17" i="20"/>
  <c r="L16" i="20"/>
  <c r="L15" i="20"/>
  <c r="L14" i="20"/>
  <c r="L13" i="20"/>
  <c r="L12" i="20"/>
  <c r="L11" i="20"/>
  <c r="L10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O11" i="20"/>
  <c r="O12" i="20"/>
  <c r="O13" i="20"/>
  <c r="O14" i="20"/>
  <c r="O15" i="20"/>
  <c r="O16" i="20"/>
  <c r="O17" i="20"/>
  <c r="O18" i="20"/>
  <c r="O10" i="20"/>
  <c r="K11" i="20"/>
  <c r="K12" i="20"/>
  <c r="K13" i="20"/>
  <c r="K14" i="20"/>
  <c r="K15" i="20"/>
  <c r="K16" i="20"/>
  <c r="K17" i="20"/>
  <c r="K18" i="20"/>
  <c r="K10" i="20"/>
  <c r="C19" i="20"/>
  <c r="D19" i="20"/>
  <c r="E19" i="20"/>
  <c r="F19" i="20"/>
  <c r="G19" i="20"/>
  <c r="H19" i="20"/>
  <c r="I19" i="20"/>
  <c r="J19" i="20"/>
  <c r="B19" i="20"/>
  <c r="C22" i="19"/>
  <c r="C30" i="18"/>
  <c r="D30" i="18"/>
  <c r="E30" i="18"/>
  <c r="F30" i="18"/>
  <c r="C29" i="18"/>
  <c r="D29" i="18"/>
  <c r="E29" i="18"/>
  <c r="F29" i="18"/>
  <c r="D28" i="18"/>
  <c r="E28" i="18"/>
  <c r="F28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<sst xmlns="http://schemas.openxmlformats.org/spreadsheetml/2006/main" count="410" uniqueCount="184">
  <si>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</si>
  <si>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</si>
  <si>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</si>
  <si>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</si>
  <si>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</si>
  <si>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</si>
  <si>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</si>
  <si>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</si>
  <si>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</si>
  <si>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</si>
  <si>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</si>
  <si>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</si>
  <si>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</si>
  <si>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</si>
  <si>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</si>
  <si>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</si>
  <si>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</si>
  <si>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</si>
  <si>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</si>
  <si>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</si>
  <si>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</si>
  <si>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</si>
  <si>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</si>
  <si>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</si>
  <si>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</si>
  <si>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</si>
  <si>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</si>
  <si>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</si>
  <si>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</si>
  <si>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</si>
  <si>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</si>
  <si>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</si>
  <si>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</si>
  <si>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</si>
  <si>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</si>
  <si>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</si>
  <si>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</si>
  <si>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</si>
  <si>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</si>
  <si>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</si>
  <si>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</si>
  <si>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</si>
  <si>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</si>
  <si>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</si>
  <si>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</si>
  <si>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</si>
  <si>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</si>
  <si>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</si>
  <si>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</si>
  <si>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</si>
  <si>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</si>
  <si>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</si>
  <si>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</si>
  <si>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</si>
  <si>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</si>
  <si>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</si>
  <si>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</si>
  <si>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</si>
  <si>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</si>
  <si>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</si>
  <si>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</si>
  <si>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</si>
  <si>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</si>
  <si>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</si>
  <si>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</si>
  <si>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</si>
  <si>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</si>
  <si>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</si>
  <si>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</si>
  <si>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</si>
  <si>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</si>
  <si>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</si>
  <si>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</si>
  <si>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</si>
  <si>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</si>
  <si>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</si>
  <si>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</si>
  <si>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</si>
  <si>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</si>
  <si>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</si>
  <si>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</si>
  <si>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</si>
  <si>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</si>
  <si>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</si>
  <si>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</si>
  <si>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</si>
  <si>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</si>
  <si>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</si>
  <si>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</si>
  <si>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</si>
  <si>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</si>
  <si>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</si>
  <si>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</si>
  <si>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</si>
  <si>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</si>
  <si>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</si>
  <si>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</si>
  <si>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</si>
  <si>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</si>
  <si>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</si>
  <si>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</si>
  <si>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</si>
  <si>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</si>
  <si>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</si>
  <si>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</si>
  <si>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</si>
  <si>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</si>
  <si>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</si>
  <si>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</si>
  <si>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</si>
  <si>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</si>
  <si>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</si>
  <si>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</si>
  <si>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</si>
  <si>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</si>
  <si>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</si>
  <si>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</si>
  <si>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</si>
  <si>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</si>
  <si>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</si>
  <si>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</si>
  <si>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</si>
  <si>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</si>
  <si>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</si>
  <si>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</si>
  <si>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</si>
  <si>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</si>
  <si>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</si>
  <si>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</si>
  <si>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</si>
  <si>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</si>
  <si>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</si>
  <si>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</si>
  <si>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</si>
  <si>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</si>
  <si>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</si>
  <si>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</si>
  <si>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</si>
  <si>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</si>
  <si>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</si>
  <si>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</si>
  <si>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</si>
  <si>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</si>
  <si>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</si>
  <si>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</si>
  <si>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</si>
  <si>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</si>
  <si>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</si>
  <si>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</si>
  <si>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</si>
  <si>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</si>
  <si>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</si>
  <si>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</si>
  <si>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</si>
  <si>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</si>
  <si>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</si>
  <si>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</si>
  <si>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</si>
  <si>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</si>
  <si>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</si>
  <si>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</si>
  <si>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</si>
  <si>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</si>
  <si>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</si>
  <si>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</si>
  <si>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</si>
  <si>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</si>
  <si>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</si>
  <si>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</si>
  <si>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</si>
  <si>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</si>
  <si>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</si>
  <si>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</si>
  <si>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</si>
  <si>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</si>
  <si>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</si>
  <si>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SUMIF(H2:H40,"&gt;20"), 2946</t>
  </si>
  <si>
    <t>All 20 values must be substituted with the value '20'</t>
  </si>
  <si>
    <t>Ctrl + H</t>
  </si>
  <si>
    <t>Alt + =</t>
  </si>
  <si>
    <t>Subsituted all the #N/A with 20 using find and replace function (Ctrl+H). In find value update #N/A and replace all with 20 at once. Calculated total sales using Sum formulae.</t>
  </si>
  <si>
    <t>Delimited Function</t>
  </si>
  <si>
    <t>SUM, Vlookup, TRUE function</t>
  </si>
  <si>
    <t xml:space="preserve">First we started verify if columns values are same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</si>
</sst>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yyyy/mm/dd"/>
    <numFmt numFmtId="172" formatCode="0.0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172" fontId="3" fillId="5" borderId="1" xfId="0" applyNumberFormat="1" applyFont="1" applyFill="1" applyBorder="1"/>
    <xf numFmtId="0" fontId="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5" activePane="bottomLeft" state="frozen"/>
      <selection pane="bottomLeft" activeCell="A44" sqref="A44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5">
      <c r="H41" s="1">
        <f>SUMIF(H2:H40,"&gt;20")</f>
        <v>1473.0000000000002</v>
      </c>
    </row>
  </sheetData>
  <autoFilter ref="A1:X41" xr:uid="{00000000-0001-0000-0000-000000000000}"/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D5">
    <cfRule type="cellIs" dxfId="2" priority="3" operator="equal">
      <formula>-1</formula>
    </cfRule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176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30" sqref="B30:F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164</v>
      </c>
    </row>
    <row r="2" spans="1:7" s="41" customFormat="1" ht="21" x14ac:dyDescent="0.5">
      <c r="B2" s="41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VLOOKUP(A6,Dataset!$A1:$W40,7,0)</f>
        <v>2.7</v>
      </c>
      <c r="C6" s="12">
        <f>VLOOKUP(A6,Dataset!$A1:$W40,14,0)</f>
        <v>7.6</v>
      </c>
      <c r="D6" s="12">
        <f>VLOOKUP(A6,Dataset!$A1:$W40,18,0)</f>
        <v>4.2</v>
      </c>
      <c r="E6" s="12">
        <f>VLOOKUP(A6,Dataset!$A1:$W40,20,0)</f>
        <v>8.9</v>
      </c>
      <c r="F6" s="8">
        <f>VLOOKUP(A6,Dataset!$A1:$W40,22,0)</f>
        <v>4.2</v>
      </c>
    </row>
    <row r="7" spans="1:7" ht="14.5" x14ac:dyDescent="0.35">
      <c r="A7" s="7" t="s">
        <v>4</v>
      </c>
      <c r="B7" s="12">
        <f>VLOOKUP(A7,Dataset!$A2:$W41,7,0)</f>
        <v>2.7</v>
      </c>
      <c r="C7" s="12">
        <f>VLOOKUP(A7,Dataset!$A2:$W41,14,0)</f>
        <v>7.6</v>
      </c>
      <c r="D7" s="12">
        <f>VLOOKUP(A7,Dataset!$A2:$W41,18,0)</f>
        <v>4.2</v>
      </c>
      <c r="E7" s="12">
        <f>VLOOKUP(A7,Dataset!$A2:$W41,20,0)</f>
        <v>8.9</v>
      </c>
      <c r="F7" s="8">
        <f>VLOOKUP(A7,Dataset!$A2:$W41,22,0)</f>
        <v>4.2</v>
      </c>
    </row>
    <row r="8" spans="1:7" ht="14.5" x14ac:dyDescent="0.35">
      <c r="A8" s="7" t="s">
        <v>7</v>
      </c>
      <c r="B8" s="12">
        <f>VLOOKUP(A8,Dataset!$A3:$W42,7,0)</f>
        <v>3.6</v>
      </c>
      <c r="C8" s="12">
        <f>VLOOKUP(A8,Dataset!$A3:$W42,14,0)</f>
        <v>11.1</v>
      </c>
      <c r="D8" s="12">
        <f>VLOOKUP(A8,Dataset!$A3:$W42,18,0)</f>
        <v>5.8</v>
      </c>
      <c r="E8" s="12">
        <f>VLOOKUP(A8,Dataset!$A3:$W42,20,0)</f>
        <v>12.2</v>
      </c>
      <c r="F8" s="8">
        <f>VLOOKUP(A8,Dataset!$A3:$W42,22,0)</f>
        <v>5.8</v>
      </c>
    </row>
    <row r="9" spans="1:7" ht="14.5" x14ac:dyDescent="0.35">
      <c r="A9" s="7" t="s">
        <v>8</v>
      </c>
      <c r="B9" s="12">
        <f>VLOOKUP(A9,Dataset!$A4:$W43,7,0)</f>
        <v>4.9000000000000004</v>
      </c>
      <c r="C9" s="12">
        <f>VLOOKUP(A9,Dataset!$A4:$W43,14,0)</f>
        <v>13.3</v>
      </c>
      <c r="D9" s="12">
        <f>VLOOKUP(A9,Dataset!$A4:$W43,18,0)</f>
        <v>8.1</v>
      </c>
      <c r="E9" s="12">
        <f>VLOOKUP(A9,Dataset!$A4:$W43,20,0)</f>
        <v>17</v>
      </c>
      <c r="F9" s="8">
        <f>VLOOKUP(A9,Dataset!$A4:$W43,22,0)</f>
        <v>8.1</v>
      </c>
    </row>
    <row r="10" spans="1:7" ht="14.5" x14ac:dyDescent="0.35">
      <c r="A10" s="7" t="s">
        <v>11</v>
      </c>
      <c r="B10" s="12">
        <f>VLOOKUP(A10,Dataset!$A5:$W44,7,0)</f>
        <v>9.4</v>
      </c>
      <c r="C10" s="12">
        <f>VLOOKUP(A10,Dataset!$A5:$W44,14,0)</f>
        <v>28.3</v>
      </c>
      <c r="D10" s="12">
        <f>VLOOKUP(A10,Dataset!$A5:$W44,18,0)</f>
        <v>16.100000000000001</v>
      </c>
      <c r="E10" s="12">
        <f>VLOOKUP(A10,Dataset!$A5:$W44,20,0)</f>
        <v>32.799999999999997</v>
      </c>
      <c r="F10" s="8">
        <f>VLOOKUP(A10,Dataset!$A5:$W44,22,0)</f>
        <v>16.100000000000001</v>
      </c>
    </row>
    <row r="11" spans="1:7" ht="14.5" x14ac:dyDescent="0.35">
      <c r="A11" s="7" t="s">
        <v>12</v>
      </c>
      <c r="B11" s="12">
        <f>VLOOKUP(A11,Dataset!$A6:$W45,7,0)</f>
        <v>11.6</v>
      </c>
      <c r="C11" s="12">
        <f>VLOOKUP(A11,Dataset!$A6:$W45,14,0)</f>
        <v>35.200000000000003</v>
      </c>
      <c r="D11" s="12">
        <f>VLOOKUP(A11,Dataset!$A6:$W45,18,0)</f>
        <v>21.3</v>
      </c>
      <c r="E11" s="12">
        <f>VLOOKUP(A11,Dataset!$A6:$W45,20,0)</f>
        <v>43</v>
      </c>
      <c r="F11" s="8">
        <f>VLOOKUP(A11,Dataset!$A6:$W45,22,0)</f>
        <v>21.3</v>
      </c>
    </row>
    <row r="12" spans="1:7" ht="14.5" x14ac:dyDescent="0.35">
      <c r="A12" s="7" t="s">
        <v>14</v>
      </c>
      <c r="B12" s="12">
        <f>VLOOKUP(A12,Dataset!$A7:$W46,7,0)</f>
        <v>18.399999999999999</v>
      </c>
      <c r="C12" s="12">
        <f>VLOOKUP(A12,Dataset!$A7:$W46,14,0)</f>
        <v>55.6</v>
      </c>
      <c r="D12" s="12">
        <f>VLOOKUP(A12,Dataset!$A7:$W46,18,0)</f>
        <v>33.799999999999997</v>
      </c>
      <c r="E12" s="12">
        <f>VLOOKUP(A12,Dataset!$A7:$W46,20,0)</f>
        <v>67.900000000000006</v>
      </c>
      <c r="F12" s="8">
        <f>VLOOKUP(A12,Dataset!$A7:$W46,22,0)</f>
        <v>33.799999999999997</v>
      </c>
    </row>
    <row r="13" spans="1:7" ht="14.5" x14ac:dyDescent="0.35">
      <c r="A13" s="7" t="s">
        <v>15</v>
      </c>
      <c r="B13" s="12">
        <f>VLOOKUP(A13,Dataset!$A8:$W47,7,0)</f>
        <v>0</v>
      </c>
      <c r="C13" s="12">
        <f>VLOOKUP(A13,Dataset!$A8:$W47,14,0)</f>
        <v>0</v>
      </c>
      <c r="D13" s="12">
        <f>VLOOKUP(A13,Dataset!$A8:$W47,18,0)</f>
        <v>0</v>
      </c>
      <c r="E13" s="12">
        <f>VLOOKUP(A13,Dataset!$A8:$W47,20,0)</f>
        <v>0</v>
      </c>
      <c r="F13" s="8">
        <f>VLOOKUP(A13,Dataset!$A8:$W47,22,0)</f>
        <v>0</v>
      </c>
    </row>
    <row r="14" spans="1:7" ht="14.5" x14ac:dyDescent="0.35">
      <c r="A14" s="7" t="s">
        <v>16</v>
      </c>
      <c r="B14" s="12">
        <f>VLOOKUP(A14,Dataset!$A9:$W48,7,0)</f>
        <v>21.9</v>
      </c>
      <c r="C14" s="12">
        <f>VLOOKUP(A14,Dataset!$A9:$W48,14,0)</f>
        <v>61.5</v>
      </c>
      <c r="D14" s="12">
        <f>VLOOKUP(A14,Dataset!$A9:$W48,18,0)</f>
        <v>40.1</v>
      </c>
      <c r="E14" s="12">
        <f>VLOOKUP(A14,Dataset!$A9:$W48,20,0)</f>
        <v>76.599999999999994</v>
      </c>
      <c r="F14" s="8">
        <f>VLOOKUP(A14,Dataset!$A9:$W48,22,0)</f>
        <v>40.1</v>
      </c>
    </row>
    <row r="15" spans="1:7" ht="14.5" x14ac:dyDescent="0.35">
      <c r="A15" s="7" t="s">
        <v>18</v>
      </c>
      <c r="B15" s="12">
        <f>VLOOKUP(A15,Dataset!$A10:$W49,7,0)</f>
        <v>26.8</v>
      </c>
      <c r="C15" s="12">
        <f>VLOOKUP(A15,Dataset!$A10:$W49,14,0)</f>
        <v>79.599999999999994</v>
      </c>
      <c r="D15" s="12">
        <f>VLOOKUP(A15,Dataset!$A10:$W49,18,0)</f>
        <v>47.9</v>
      </c>
      <c r="E15" s="12">
        <f>VLOOKUP(A15,Dataset!$A10:$W49,20,0)</f>
        <v>96.8</v>
      </c>
      <c r="F15" s="8">
        <f>VLOOKUP(A15,Dataset!$A10:$W49,22,0)</f>
        <v>47.9</v>
      </c>
    </row>
    <row r="16" spans="1:7" ht="14.5" x14ac:dyDescent="0.35">
      <c r="A16" s="7" t="s">
        <v>20</v>
      </c>
      <c r="B16" s="12">
        <f>VLOOKUP(A16,Dataset!$A11:$W50,7,0)</f>
        <v>28.5</v>
      </c>
      <c r="C16" s="12">
        <f>VLOOKUP(A16,Dataset!$A11:$W50,14,0)</f>
        <v>85.4</v>
      </c>
      <c r="D16" s="12">
        <f>VLOOKUP(A16,Dataset!$A11:$W50,18,0)</f>
        <v>52.3</v>
      </c>
      <c r="E16" s="12">
        <f>VLOOKUP(A16,Dataset!$A11:$W50,20,0)</f>
        <v>106.1</v>
      </c>
      <c r="F16" s="8">
        <f>VLOOKUP(A16,Dataset!$A11:$W50,22,0)</f>
        <v>52.3</v>
      </c>
    </row>
    <row r="17" spans="1:6" ht="14.5" x14ac:dyDescent="0.35">
      <c r="A17" s="7" t="s">
        <v>22</v>
      </c>
      <c r="B17" s="12">
        <f>VLOOKUP(A17,Dataset!$A12:$W51,7,0)</f>
        <v>30.7</v>
      </c>
      <c r="C17" s="12">
        <f>VLOOKUP(A17,Dataset!$A12:$W51,14,0)</f>
        <v>92.1</v>
      </c>
      <c r="D17" s="12">
        <f>VLOOKUP(A17,Dataset!$A12:$W51,18,0)</f>
        <v>57</v>
      </c>
      <c r="E17" s="12">
        <f>VLOOKUP(A17,Dataset!$A12:$W51,20,0)</f>
        <v>115.1</v>
      </c>
      <c r="F17" s="8">
        <f>VLOOKUP(A17,Dataset!$A12:$W51,22,0)</f>
        <v>57</v>
      </c>
    </row>
    <row r="18" spans="1:6" ht="14.5" x14ac:dyDescent="0.35">
      <c r="A18" s="7" t="s">
        <v>23</v>
      </c>
      <c r="B18" s="12">
        <f>VLOOKUP(A18,Dataset!$A13:$W52,7,0)</f>
        <v>33.799999999999997</v>
      </c>
      <c r="C18" s="12">
        <f>VLOOKUP(A18,Dataset!$A13:$W52,14,0)</f>
        <v>101.3</v>
      </c>
      <c r="D18" s="12">
        <f>VLOOKUP(A18,Dataset!$A13:$W52,18,0)</f>
        <v>61.4</v>
      </c>
      <c r="E18" s="12">
        <f>VLOOKUP(A18,Dataset!$A13:$W52,20,0)</f>
        <v>124.4</v>
      </c>
      <c r="F18" s="8">
        <f>VLOOKUP(A18,Dataset!$A13:$W52,22,0)</f>
        <v>61.4</v>
      </c>
    </row>
    <row r="19" spans="1:6" ht="14.5" x14ac:dyDescent="0.35">
      <c r="A19" s="7" t="s">
        <v>24</v>
      </c>
      <c r="B19" s="12">
        <f>VLOOKUP(A19,Dataset!$A14:$W53,7,0)</f>
        <v>34.700000000000003</v>
      </c>
      <c r="C19" s="12">
        <f>VLOOKUP(A19,Dataset!$A14:$W53,14,0)</f>
        <v>106.1</v>
      </c>
      <c r="D19" s="12">
        <f>VLOOKUP(A19,Dataset!$A14:$W53,18,0)</f>
        <v>63.6</v>
      </c>
      <c r="E19" s="12">
        <f>VLOOKUP(A19,Dataset!$A14:$W53,20,0)</f>
        <v>128.6</v>
      </c>
      <c r="F19" s="8">
        <f>VLOOKUP(A19,Dataset!$A14:$W53,22,0)</f>
        <v>63.6</v>
      </c>
    </row>
    <row r="20" spans="1:6" ht="14.5" x14ac:dyDescent="0.35">
      <c r="A20" s="7" t="s">
        <v>28</v>
      </c>
      <c r="B20" s="12">
        <f>VLOOKUP(A20,Dataset!$A15:$W54,7,0)</f>
        <v>0</v>
      </c>
      <c r="C20" s="12">
        <f>VLOOKUP(A20,Dataset!$A15:$W54,14,0)</f>
        <v>0</v>
      </c>
      <c r="D20" s="12">
        <f>VLOOKUP(A20,Dataset!$A15:$W54,18,0)</f>
        <v>0</v>
      </c>
      <c r="E20" s="12">
        <f>VLOOKUP(A20,Dataset!$A15:$W54,20,0)</f>
        <v>0</v>
      </c>
      <c r="F20" s="8">
        <f>VLOOKUP(A20,Dataset!$A15:$W54,22,0)</f>
        <v>0</v>
      </c>
    </row>
    <row r="21" spans="1:6" ht="14.5" x14ac:dyDescent="0.35">
      <c r="A21" s="7" t="s">
        <v>57</v>
      </c>
      <c r="B21" s="12">
        <f>VLOOKUP(A21,Dataset!$A16:$W55,7,0)</f>
        <v>41.3</v>
      </c>
      <c r="C21" s="12">
        <f>VLOOKUP(A21,Dataset!$A16:$W55,14,0)</f>
        <v>124.4</v>
      </c>
      <c r="D21" s="12">
        <f>VLOOKUP(A21,Dataset!$A16:$W55,18,0)</f>
        <v>75</v>
      </c>
      <c r="E21" s="12">
        <f>VLOOKUP(A21,Dataset!$A16:$W55,20,0)</f>
        <v>151.5</v>
      </c>
      <c r="F21" s="8">
        <f>VLOOKUP(A21,Dataset!$A16:$W55,22,0)</f>
        <v>75</v>
      </c>
    </row>
    <row r="22" spans="1:6" ht="14.5" x14ac:dyDescent="0.35">
      <c r="A22" s="7" t="s">
        <v>58</v>
      </c>
      <c r="B22" s="12">
        <f>VLOOKUP(A22,Dataset!$A17:$W56,7,0)</f>
        <v>-1</v>
      </c>
      <c r="C22" s="12">
        <f>VLOOKUP(A22,Dataset!$A17:$W56,14,0)</f>
        <v>-1</v>
      </c>
      <c r="D22" s="12">
        <f>VLOOKUP(A22,Dataset!$A17:$W56,18,0)</f>
        <v>-1</v>
      </c>
      <c r="E22" s="12">
        <f>VLOOKUP(A22,Dataset!$A17:$W56,20,0)</f>
        <v>-1</v>
      </c>
      <c r="F22" s="8">
        <f>VLOOKUP(A22,Dataset!$A17:$W56,22,0)</f>
        <v>-1</v>
      </c>
    </row>
    <row r="23" spans="1:6" ht="14.5" x14ac:dyDescent="0.35">
      <c r="A23" s="7" t="s">
        <v>31</v>
      </c>
      <c r="B23" s="12">
        <f>VLOOKUP(A23,Dataset!$A18:$W57,7,0)</f>
        <v>45</v>
      </c>
      <c r="C23" s="12">
        <f>VLOOKUP(A23,Dataset!$A18:$W57,14,0)</f>
        <v>133.4</v>
      </c>
      <c r="D23" s="12">
        <f>VLOOKUP(A23,Dataset!$A18:$W57,18,0)</f>
        <v>79.400000000000006</v>
      </c>
      <c r="E23" s="12">
        <f>VLOOKUP(A23,Dataset!$A18:$W57,20,0)</f>
        <v>160.9</v>
      </c>
      <c r="F23" s="8">
        <f>VLOOKUP(A23,Dataset!$A18:$W57,22,0)</f>
        <v>79.400000000000006</v>
      </c>
    </row>
    <row r="24" spans="1:6" ht="14.5" x14ac:dyDescent="0.35">
      <c r="A24" s="7" t="s">
        <v>32</v>
      </c>
      <c r="B24" s="12">
        <f>VLOOKUP(A24,Dataset!$A19:$W58,7,0)</f>
        <v>-1</v>
      </c>
      <c r="C24" s="12">
        <f>VLOOKUP(A24,Dataset!$A19:$W58,14,0)</f>
        <v>-1</v>
      </c>
      <c r="D24" s="12">
        <f>VLOOKUP(A24,Dataset!$A19:$W58,18,0)</f>
        <v>-1</v>
      </c>
      <c r="E24" s="12">
        <f>VLOOKUP(A24,Dataset!$A19:$W58,20,0)</f>
        <v>-1</v>
      </c>
      <c r="F24" s="8">
        <f>VLOOKUP(A24,Dataset!$A19:$W58,22,0)</f>
        <v>-1</v>
      </c>
    </row>
    <row r="25" spans="1:6" ht="14.5" x14ac:dyDescent="0.35">
      <c r="A25" s="7" t="s">
        <v>34</v>
      </c>
      <c r="B25" s="12">
        <f>VLOOKUP(A25,Dataset!$A20:$W59,7,0)</f>
        <v>43.3</v>
      </c>
      <c r="C25" s="12">
        <f>VLOOKUP(A25,Dataset!$A20:$W59,14,0)</f>
        <v>128.6</v>
      </c>
      <c r="D25" s="12">
        <f>VLOOKUP(A25,Dataset!$A20:$W59,18,0)</f>
        <v>79.400000000000006</v>
      </c>
      <c r="E25" s="12">
        <f>VLOOKUP(A25,Dataset!$A20:$W59,20,0)</f>
        <v>160.9</v>
      </c>
      <c r="F25" s="8">
        <f>VLOOKUP(A25,Dataset!$A20:$W59,22,0)</f>
        <v>79.400000000000006</v>
      </c>
    </row>
    <row r="26" spans="1:6" ht="14.5" x14ac:dyDescent="0.35">
      <c r="A26" s="7" t="s">
        <v>37</v>
      </c>
      <c r="B26" s="12">
        <f>VLOOKUP(A26,Dataset!$A21:$W60,7,0)</f>
        <v>49.1</v>
      </c>
      <c r="C26" s="12">
        <f>VLOOKUP(A26,Dataset!$A21:$W60,14,0)</f>
        <v>146.80000000000001</v>
      </c>
      <c r="D26" s="12">
        <f>VLOOKUP(A26,Dataset!$A21:$W60,18,0)</f>
        <v>90.9</v>
      </c>
      <c r="E26" s="12">
        <f>VLOOKUP(A26,Dataset!$A21:$W60,20,0)</f>
        <v>183.5</v>
      </c>
      <c r="F26" s="8">
        <f>VLOOKUP(A26,Dataset!$A21:$W60,22,0)</f>
        <v>90.9</v>
      </c>
    </row>
    <row r="27" spans="1:6" ht="14.5" x14ac:dyDescent="0.35">
      <c r="A27" s="7" t="s">
        <v>39</v>
      </c>
      <c r="B27" s="12">
        <f>VLOOKUP(A27,Dataset!$A22:$W61,7,0)</f>
        <v>51.8</v>
      </c>
      <c r="C27" s="12">
        <f>VLOOKUP(A27,Dataset!$A22:$W61,14,0)</f>
        <v>156.4</v>
      </c>
      <c r="D27" s="12">
        <f>VLOOKUP(A27,Dataset!$A22:$W61,18,0)</f>
        <v>93.1</v>
      </c>
      <c r="E27" s="12">
        <f>VLOOKUP(A27,Dataset!$A22:$W61,20,0)</f>
        <v>188.1</v>
      </c>
      <c r="F27" s="8">
        <f>VLOOKUP(A27,Dataset!$A22:$W61,22,0)</f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>MIN(C6:C27)</f>
        <v>-1</v>
      </c>
      <c r="D28" s="31">
        <f t="shared" ref="D28:F28" si="0">MIN(D6:D27)</f>
        <v>-1</v>
      </c>
      <c r="E28" s="31">
        <f t="shared" si="0"/>
        <v>-1</v>
      </c>
      <c r="F28" s="31">
        <f t="shared" si="0"/>
        <v>-1</v>
      </c>
    </row>
    <row r="29" spans="1:6" ht="14.5" x14ac:dyDescent="0.3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84</v>
      </c>
      <c r="B30" s="47">
        <f>AVERAGE(B6:B27)</f>
        <v>20.827272727272728</v>
      </c>
      <c r="C30" s="47">
        <f t="shared" ref="C30:F30" si="2">AVERAGE(C6:C27)</f>
        <v>62.377272727272725</v>
      </c>
      <c r="D30" s="47">
        <f t="shared" si="2"/>
        <v>37.800000000000004</v>
      </c>
      <c r="E30" s="47">
        <f t="shared" si="2"/>
        <v>76.418181818181822</v>
      </c>
      <c r="F30" s="47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40" t="s">
        <v>181</v>
      </c>
    </row>
    <row r="6" spans="1:10" ht="18.5" x14ac:dyDescent="0.45">
      <c r="A6" s="43" t="s">
        <v>153</v>
      </c>
      <c r="B6" s="40"/>
    </row>
    <row r="7" spans="1:10" ht="18.5" x14ac:dyDescent="0.45">
      <c r="A7" s="43"/>
      <c r="B7" s="40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5" zoomScaleNormal="100" workbookViewId="0">
      <selection activeCell="C25" sqref="C25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166</v>
      </c>
    </row>
    <row r="2" spans="1:3" ht="18.5" x14ac:dyDescent="0.45">
      <c r="B2" s="40" t="s">
        <v>177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178</v>
      </c>
      <c r="C6" s="2" t="s">
        <v>179</v>
      </c>
    </row>
    <row r="7" spans="1:3" ht="14.5" x14ac:dyDescent="0.35">
      <c r="A7" s="3" t="s">
        <v>153</v>
      </c>
      <c r="B7" s="1" t="s">
        <v>180</v>
      </c>
    </row>
    <row r="10" spans="1:3" ht="23.5" x14ac:dyDescent="0.55000000000000004">
      <c r="A10" s="18" t="s">
        <v>162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>
        <v>20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>
        <v>20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154</v>
      </c>
      <c r="C17" s="17">
        <v>150</v>
      </c>
    </row>
    <row r="18" spans="1:3" ht="14.5" x14ac:dyDescent="0.35">
      <c r="A18" s="32">
        <v>44933</v>
      </c>
      <c r="B18" s="17" t="s">
        <v>155</v>
      </c>
      <c r="C18" s="17">
        <v>80</v>
      </c>
    </row>
    <row r="19" spans="1:3" ht="14.5" x14ac:dyDescent="0.35">
      <c r="A19" s="32">
        <v>44934</v>
      </c>
      <c r="B19" s="17" t="s">
        <v>156</v>
      </c>
      <c r="C19" s="17">
        <v>20</v>
      </c>
    </row>
    <row r="20" spans="1:3" ht="14.5" x14ac:dyDescent="0.35">
      <c r="A20" s="32">
        <v>44935</v>
      </c>
      <c r="B20" s="17" t="s">
        <v>157</v>
      </c>
      <c r="C20" s="17">
        <v>30</v>
      </c>
    </row>
    <row r="21" spans="1:3" ht="14.5" x14ac:dyDescent="0.35">
      <c r="A21" s="32">
        <v>44936</v>
      </c>
      <c r="B21" s="17" t="s">
        <v>158</v>
      </c>
      <c r="C21" s="17">
        <v>20</v>
      </c>
    </row>
    <row r="22" spans="1:3" ht="14.5" x14ac:dyDescent="0.35">
      <c r="B22" s="17" t="s">
        <v>159</v>
      </c>
      <c r="C22" s="25">
        <f>SUM(C12:C21)</f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abSelected="1" topLeftCell="A7" zoomScaleNormal="100" workbookViewId="0">
      <selection activeCell="G24" sqref="G24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5" ht="21" x14ac:dyDescent="0.5">
      <c r="A1" s="42" t="s">
        <v>98</v>
      </c>
      <c r="B1" s="41" t="s">
        <v>174</v>
      </c>
    </row>
    <row r="3" spans="1:15" ht="14.5" x14ac:dyDescent="0.35">
      <c r="B3" s="1" t="s">
        <v>151</v>
      </c>
    </row>
    <row r="4" spans="1:15" ht="18.5" x14ac:dyDescent="0.45">
      <c r="A4" s="43" t="s">
        <v>53</v>
      </c>
      <c r="B4" s="1" t="s">
        <v>182</v>
      </c>
    </row>
    <row r="5" spans="1:15" ht="18.5" x14ac:dyDescent="0.45">
      <c r="A5" s="43" t="s">
        <v>153</v>
      </c>
      <c r="B5" s="1" t="s">
        <v>183</v>
      </c>
    </row>
    <row r="6" spans="1:15" ht="14.5" x14ac:dyDescent="0.35">
      <c r="A6" s="3"/>
      <c r="B6" s="1"/>
    </row>
    <row r="8" spans="1:15" ht="23.5" x14ac:dyDescent="0.55000000000000004">
      <c r="A8" s="18" t="s">
        <v>162</v>
      </c>
      <c r="M8" s="18" t="s">
        <v>163</v>
      </c>
    </row>
    <row r="9" spans="1:15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K9" s="48" t="s">
        <v>169</v>
      </c>
      <c r="M9" s="19" t="s">
        <v>43</v>
      </c>
      <c r="N9" s="19" t="s">
        <v>99</v>
      </c>
      <c r="O9" s="48" t="s">
        <v>169</v>
      </c>
    </row>
    <row r="10" spans="1:15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K10" s="2">
        <f>SUM(B10:J10)</f>
        <v>2258</v>
      </c>
      <c r="L10" s="2" t="b">
        <f>B19=K10</f>
        <v>1</v>
      </c>
      <c r="M10" s="12">
        <v>10100</v>
      </c>
      <c r="N10" s="12" t="s">
        <v>89</v>
      </c>
      <c r="O10" s="2">
        <f>VLOOKUP(N10,A$9:K$18,11,0)</f>
        <v>2258</v>
      </c>
    </row>
    <row r="11" spans="1:15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K11" s="2">
        <f t="shared" ref="K11:K18" si="0">SUM(B11:J11)</f>
        <v>1698</v>
      </c>
      <c r="L11" s="2" t="b">
        <f>C19=K11</f>
        <v>1</v>
      </c>
      <c r="M11" s="12">
        <v>10102</v>
      </c>
      <c r="N11" s="12" t="s">
        <v>90</v>
      </c>
      <c r="O11" s="2">
        <f t="shared" ref="O11:O18" si="1">VLOOKUP(N11,A$9:K$18,11,0)</f>
        <v>1698</v>
      </c>
    </row>
    <row r="12" spans="1:15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K12" s="2">
        <f t="shared" si="0"/>
        <v>1417</v>
      </c>
      <c r="L12" s="2" t="b">
        <f>D19=K12</f>
        <v>1</v>
      </c>
      <c r="M12" s="12">
        <v>10104</v>
      </c>
      <c r="N12" s="12" t="s">
        <v>91</v>
      </c>
      <c r="O12" s="2">
        <f t="shared" si="1"/>
        <v>1417</v>
      </c>
    </row>
    <row r="13" spans="1:15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K13" s="2">
        <f t="shared" si="0"/>
        <v>1399</v>
      </c>
      <c r="L13" s="2" t="b">
        <f>E19=K13</f>
        <v>1</v>
      </c>
      <c r="M13" s="12">
        <v>10106</v>
      </c>
      <c r="N13" s="12" t="s">
        <v>92</v>
      </c>
      <c r="O13" s="2">
        <f t="shared" si="1"/>
        <v>1399</v>
      </c>
    </row>
    <row r="14" spans="1:15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K14" s="2">
        <f t="shared" si="0"/>
        <v>1329</v>
      </c>
      <c r="L14" s="2" t="b">
        <f>F19=K14</f>
        <v>1</v>
      </c>
      <c r="M14" s="12">
        <v>10108</v>
      </c>
      <c r="N14" s="12" t="s">
        <v>93</v>
      </c>
      <c r="O14" s="2">
        <f t="shared" si="1"/>
        <v>1329</v>
      </c>
    </row>
    <row r="15" spans="1:15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K15" s="2">
        <f t="shared" si="0"/>
        <v>1379</v>
      </c>
      <c r="L15" s="2" t="b">
        <f>G19=K15</f>
        <v>1</v>
      </c>
      <c r="M15" s="12">
        <v>10110</v>
      </c>
      <c r="N15" s="12" t="s">
        <v>94</v>
      </c>
      <c r="O15" s="2">
        <f t="shared" si="1"/>
        <v>1379</v>
      </c>
    </row>
    <row r="16" spans="1:15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K16" s="2">
        <f t="shared" si="0"/>
        <v>1719</v>
      </c>
      <c r="L16" s="2" t="b">
        <f>H19=K16</f>
        <v>1</v>
      </c>
      <c r="M16" s="12">
        <v>10112</v>
      </c>
      <c r="N16" s="12" t="s">
        <v>95</v>
      </c>
      <c r="O16" s="2">
        <f t="shared" si="1"/>
        <v>1719</v>
      </c>
    </row>
    <row r="17" spans="1:15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K17" s="2">
        <f t="shared" si="0"/>
        <v>2039</v>
      </c>
      <c r="L17" s="2" t="b">
        <f>I19=K17</f>
        <v>1</v>
      </c>
      <c r="M17" s="12">
        <v>10114</v>
      </c>
      <c r="N17" s="12" t="s">
        <v>96</v>
      </c>
      <c r="O17" s="2">
        <f t="shared" si="1"/>
        <v>2039</v>
      </c>
    </row>
    <row r="18" spans="1:15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K18" s="2">
        <f t="shared" si="0"/>
        <v>2329</v>
      </c>
      <c r="L18" s="2" t="b">
        <f>J19=K18</f>
        <v>1</v>
      </c>
      <c r="M18" s="13">
        <v>10116</v>
      </c>
      <c r="N18" s="13" t="s">
        <v>97</v>
      </c>
      <c r="O18" s="2">
        <f t="shared" si="1"/>
        <v>2329</v>
      </c>
    </row>
    <row r="19" spans="1:15" x14ac:dyDescent="0.3">
      <c r="A19" s="48" t="s">
        <v>169</v>
      </c>
      <c r="B19" s="2">
        <f>SUM(B10:B18)</f>
        <v>2258</v>
      </c>
      <c r="C19" s="2">
        <f t="shared" ref="C19:J19" si="2">SUM(C10:C18)</f>
        <v>1698</v>
      </c>
      <c r="D19" s="2">
        <f t="shared" si="2"/>
        <v>1417</v>
      </c>
      <c r="E19" s="2">
        <f t="shared" si="2"/>
        <v>1399</v>
      </c>
      <c r="F19" s="2">
        <f t="shared" si="2"/>
        <v>1329</v>
      </c>
      <c r="G19" s="2">
        <f t="shared" si="2"/>
        <v>1379</v>
      </c>
      <c r="H19" s="2">
        <f t="shared" si="2"/>
        <v>1719</v>
      </c>
      <c r="I19" s="2">
        <f t="shared" si="2"/>
        <v>2039</v>
      </c>
      <c r="J19" s="2">
        <f t="shared" si="2"/>
        <v>2329</v>
      </c>
    </row>
    <row r="21" spans="1:15" ht="23.5" x14ac:dyDescent="0.55000000000000004">
      <c r="A21" s="18" t="s">
        <v>167</v>
      </c>
    </row>
    <row r="22" spans="1:15" ht="14.5" x14ac:dyDescent="0.35">
      <c r="A22" s="14" t="s">
        <v>100</v>
      </c>
      <c r="B22" s="17" t="s">
        <v>101</v>
      </c>
      <c r="C22" s="16" t="s">
        <v>102</v>
      </c>
    </row>
    <row r="23" spans="1:15" ht="14.5" x14ac:dyDescent="0.35">
      <c r="A23" s="7">
        <v>10100</v>
      </c>
      <c r="B23" s="12">
        <v>10102</v>
      </c>
      <c r="C23" s="44">
        <f>VLOOKUP(A23,$M$10:$O$18,3,0)+VLOOKUP(B23,$M$10:$O$18,3,0)</f>
        <v>3956</v>
      </c>
    </row>
    <row r="24" spans="1:15" ht="14.5" x14ac:dyDescent="0.35">
      <c r="A24" s="7">
        <v>10100</v>
      </c>
      <c r="B24" s="12">
        <v>10104</v>
      </c>
      <c r="C24" s="44">
        <f t="shared" ref="C24:C35" si="3">VLOOKUP(A24,$M$10:$O$18,3,0)+VLOOKUP(B24,$M$10:$O$18,3,0)</f>
        <v>3675</v>
      </c>
    </row>
    <row r="25" spans="1:15" ht="14.5" x14ac:dyDescent="0.35">
      <c r="A25" s="7">
        <v>10108</v>
      </c>
      <c r="B25" s="12">
        <v>10102</v>
      </c>
      <c r="C25" s="44">
        <f t="shared" si="3"/>
        <v>3027</v>
      </c>
    </row>
    <row r="26" spans="1:15" ht="14.5" x14ac:dyDescent="0.35">
      <c r="A26" s="7">
        <v>10100</v>
      </c>
      <c r="B26" s="12">
        <v>10106</v>
      </c>
      <c r="C26" s="44">
        <f t="shared" si="3"/>
        <v>3657</v>
      </c>
    </row>
    <row r="27" spans="1:15" ht="14.5" x14ac:dyDescent="0.35">
      <c r="A27" s="7">
        <v>10108</v>
      </c>
      <c r="B27" s="12">
        <v>10110</v>
      </c>
      <c r="C27" s="44">
        <f t="shared" si="3"/>
        <v>2708</v>
      </c>
    </row>
    <row r="28" spans="1:15" ht="14.5" x14ac:dyDescent="0.35">
      <c r="A28" s="7">
        <v>10102</v>
      </c>
      <c r="B28" s="12">
        <v>10104</v>
      </c>
      <c r="C28" s="44">
        <f t="shared" si="3"/>
        <v>3115</v>
      </c>
    </row>
    <row r="29" spans="1:15" ht="14.5" x14ac:dyDescent="0.35">
      <c r="A29" s="7">
        <v>10106</v>
      </c>
      <c r="B29" s="12">
        <v>10108</v>
      </c>
      <c r="C29" s="44">
        <f t="shared" si="3"/>
        <v>2728</v>
      </c>
    </row>
    <row r="30" spans="1:15" ht="14.5" x14ac:dyDescent="0.35">
      <c r="A30" s="7">
        <v>10102</v>
      </c>
      <c r="B30" s="12">
        <v>10106</v>
      </c>
      <c r="C30" s="44">
        <f t="shared" si="3"/>
        <v>3097</v>
      </c>
    </row>
    <row r="31" spans="1:15" ht="14.5" x14ac:dyDescent="0.35">
      <c r="A31" s="7">
        <v>10110</v>
      </c>
      <c r="B31" s="12">
        <v>10114</v>
      </c>
      <c r="C31" s="44">
        <f t="shared" si="3"/>
        <v>3418</v>
      </c>
    </row>
    <row r="32" spans="1:15" ht="14.5" x14ac:dyDescent="0.35">
      <c r="A32" s="7">
        <v>10104</v>
      </c>
      <c r="B32" s="12">
        <v>10106</v>
      </c>
      <c r="C32" s="44">
        <f t="shared" si="3"/>
        <v>2816</v>
      </c>
    </row>
    <row r="33" spans="1:3" ht="14.5" x14ac:dyDescent="0.35">
      <c r="A33" s="7">
        <v>10110</v>
      </c>
      <c r="B33" s="12">
        <v>10112</v>
      </c>
      <c r="C33" s="44">
        <f t="shared" si="3"/>
        <v>3098</v>
      </c>
    </row>
    <row r="34" spans="1:3" ht="14.5" x14ac:dyDescent="0.35">
      <c r="A34" s="7">
        <v>10100</v>
      </c>
      <c r="B34" s="12">
        <v>10114</v>
      </c>
      <c r="C34" s="44">
        <f t="shared" si="3"/>
        <v>4297</v>
      </c>
    </row>
    <row r="35" spans="1:3" ht="14.5" x14ac:dyDescent="0.35">
      <c r="A35" s="9">
        <v>10112</v>
      </c>
      <c r="B35" s="13">
        <v>10116</v>
      </c>
      <c r="C35" s="44">
        <f t="shared" si="3"/>
        <v>4048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Siva nanduri</cp:lastModifiedBy>
  <dcterms:created xsi:type="dcterms:W3CDTF">2015-02-10T17:33:11Z</dcterms:created>
  <dcterms:modified xsi:type="dcterms:W3CDTF">2023-12-10T16:59:09Z</dcterms:modified>
</cp:coreProperties>
</file>